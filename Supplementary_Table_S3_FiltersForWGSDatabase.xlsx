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<sst xmlns="http://schemas.openxmlformats.org/spreadsheetml/2006/main" count="132" uniqueCount="85">
  <si>
    <t>date searched</t>
  </si>
  <si>
    <t>facet</t>
  </si>
  <si>
    <t>tag</t>
  </si>
  <si>
    <t>taxid</t>
  </si>
  <si>
    <t># of projects</t>
  </si>
  <si>
    <t># of project after "NZ_" filter</t>
  </si>
  <si>
    <t>notes</t>
  </si>
  <si>
    <t>--</t>
  </si>
  <si>
    <t>no filter; total # of projects in WGS database</t>
  </si>
  <si>
    <t>organism</t>
  </si>
  <si>
    <t>human gut metagenome</t>
  </si>
  <si>
    <t>previously used filter to download WGS datasets</t>
  </si>
  <si>
    <t>host</t>
  </si>
  <si>
    <t>homo sapiens</t>
  </si>
  <si>
    <t>proposed filters for to re-run pipeline and test more datasets; name: filterset1</t>
  </si>
  <si>
    <t>isolation source</t>
  </si>
  <si>
    <t>feces</t>
  </si>
  <si>
    <t>stomach</t>
  </si>
  <si>
    <t>gut</t>
  </si>
  <si>
    <t>intestine</t>
  </si>
  <si>
    <t xml:space="preserve">fecal material </t>
  </si>
  <si>
    <t>fecal sample</t>
  </si>
  <si>
    <t>stool</t>
  </si>
  <si>
    <t>updated # of projects under human gut metagenome tag; name:hgm_organism</t>
  </si>
  <si>
    <t>metagenome source</t>
  </si>
  <si>
    <t>human gut metagenome tag; name: hgm_metagenomesource</t>
  </si>
  <si>
    <t>total number of projects proposed with new filters</t>
  </si>
  <si>
    <t xml:space="preserve">NOTE: some projects are duplicated, containing the prefix "NZ_", which indicates datasets with incomplete WGS data. These datasets must be removed as the "prefetch" command cannot download them. Only download and retain the orignal datasets. </t>
  </si>
  <si>
    <t>paper from albert:</t>
  </si>
  <si>
    <t>https://www.ncbi.nlm.nih.gov/pmc/articles/PMC8728112/</t>
  </si>
  <si>
    <t>FILTER SETS FOR 2022</t>
  </si>
  <si>
    <t>filter set name</t>
  </si>
  <si>
    <t># of biosamples</t>
  </si>
  <si>
    <t># of biosampels after "NZ_" prefix removed</t>
  </si>
  <si>
    <t># of biosamples after removing duplicates</t>
  </si>
  <si>
    <t>none</t>
  </si>
  <si>
    <t>organism_hgm</t>
  </si>
  <si>
    <t>metagenomesource_hgm</t>
  </si>
  <si>
    <t>human gut stool metagenome</t>
  </si>
  <si>
    <t>isolationsource_stool</t>
  </si>
  <si>
    <t>stool sample</t>
  </si>
  <si>
    <t>stool/fecal</t>
  </si>
  <si>
    <t>stool, clinical</t>
  </si>
  <si>
    <t>stools</t>
  </si>
  <si>
    <t>stool sample (feces)</t>
  </si>
  <si>
    <t>stool from individual ak</t>
  </si>
  <si>
    <t>stool sample of individual with bacteremia</t>
  </si>
  <si>
    <t>stool culture</t>
  </si>
  <si>
    <t>stool sample from patient with cholera</t>
  </si>
  <si>
    <t>stool from individual t</t>
  </si>
  <si>
    <t>stool samples</t>
  </si>
  <si>
    <t xml:space="preserve">stool isolate </t>
  </si>
  <si>
    <t>stool from individual ap</t>
  </si>
  <si>
    <t>stool from neonate</t>
  </si>
  <si>
    <t>isolationsource_feces</t>
  </si>
  <si>
    <t>fecal material</t>
  </si>
  <si>
    <t>fecal</t>
  </si>
  <si>
    <t>fecal swab</t>
  </si>
  <si>
    <t>feces or rectal swab</t>
  </si>
  <si>
    <t>feces from female</t>
  </si>
  <si>
    <t>isolationsource_gut</t>
  </si>
  <si>
    <t>gut microbiota</t>
  </si>
  <si>
    <t>isolationsource_intestin</t>
  </si>
  <si>
    <t>intestinal tract</t>
  </si>
  <si>
    <t>isolationsource_rectum</t>
  </si>
  <si>
    <t>rectal swab</t>
  </si>
  <si>
    <t>rectum</t>
  </si>
  <si>
    <t>rectal</t>
  </si>
  <si>
    <t>rectal swab/stool</t>
  </si>
  <si>
    <t>rectal swab neonate</t>
  </si>
  <si>
    <t>isolationsource_misc</t>
  </si>
  <si>
    <t>human gut</t>
  </si>
  <si>
    <t>perirectal swab</t>
  </si>
  <si>
    <t>infant feces</t>
  </si>
  <si>
    <t>gastric biopsy</t>
  </si>
  <si>
    <t>maternal feces</t>
  </si>
  <si>
    <t>gastric biopsies</t>
  </si>
  <si>
    <t>gastric biopsy specimen</t>
  </si>
  <si>
    <t>human stool</t>
  </si>
  <si>
    <t>human feces</t>
  </si>
  <si>
    <t>isolationsource_stomach</t>
  </si>
  <si>
    <t>stomach biopsy</t>
  </si>
  <si>
    <t>isolationsource_faec</t>
  </si>
  <si>
    <t>faeces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</si>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</sst>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u/>
      <color rgb="FF0000FF"/>
    </font>
    <font>
      <b/>
      <color rgb="FFFF0000"/>
      <name val="Arial"/>
      <scheme val="minor"/>
    </font>
    <font>
      <color rgb="FF99999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3" xfId="0" applyFont="1" applyNumberFormat="1"/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0" xfId="0" applyFont="1"/>
    <xf borderId="0" fillId="0" fontId="1" numFmtId="0" xfId="0" applyAlignment="1" applyFont="1">
      <alignment horizontal="right" readingOrder="0"/>
    </xf>
    <xf borderId="0" fillId="0" fontId="2" numFmtId="3" xfId="0" applyFont="1" applyNumberFormat="1"/>
    <xf borderId="0" fillId="4" fontId="1" numFmtId="3" xfId="0" applyFill="1" applyFont="1" applyNumberFormat="1"/>
    <xf borderId="0" fillId="4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pmc/articles/PMC8728112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5"/>
    <col customWidth="1" hidden="1" min="4" max="4" width="20.5"/>
    <col customWidth="1" min="7" max="7" width="6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44585.0</v>
      </c>
      <c r="B2" s="4" t="s">
        <v>7</v>
      </c>
      <c r="C2" s="4" t="s">
        <v>7</v>
      </c>
      <c r="D2" s="4" t="s">
        <v>7</v>
      </c>
      <c r="E2" s="5">
        <v>1276202.0</v>
      </c>
      <c r="F2" s="5"/>
      <c r="G2" s="4" t="s">
        <v>8</v>
      </c>
    </row>
    <row r="3">
      <c r="A3" s="3">
        <v>44050.0</v>
      </c>
      <c r="B3" s="4" t="s">
        <v>9</v>
      </c>
      <c r="C3" s="4" t="s">
        <v>10</v>
      </c>
      <c r="D3" s="4">
        <v>408170.0</v>
      </c>
      <c r="E3" s="5">
        <v>14286.0</v>
      </c>
      <c r="F3" s="5"/>
      <c r="G3" s="4" t="s">
        <v>11</v>
      </c>
    </row>
    <row r="4">
      <c r="A4" s="3">
        <v>44585.0</v>
      </c>
      <c r="B4" s="4" t="s">
        <v>12</v>
      </c>
      <c r="C4" s="4" t="s">
        <v>13</v>
      </c>
      <c r="D4" s="4">
        <v>9606.0</v>
      </c>
      <c r="E4" s="5">
        <v>25705.0</v>
      </c>
      <c r="F4" s="5">
        <v>19974.0</v>
      </c>
      <c r="G4" s="4" t="s">
        <v>14</v>
      </c>
    </row>
    <row r="5">
      <c r="B5" s="4" t="s">
        <v>15</v>
      </c>
      <c r="C5" s="4" t="s">
        <v>16</v>
      </c>
    </row>
    <row r="6">
      <c r="C6" s="4" t="s">
        <v>17</v>
      </c>
    </row>
    <row r="7">
      <c r="C7" s="4" t="s">
        <v>18</v>
      </c>
    </row>
    <row r="8">
      <c r="C8" s="4" t="s">
        <v>19</v>
      </c>
    </row>
    <row r="9">
      <c r="C9" s="4" t="s">
        <v>20</v>
      </c>
    </row>
    <row r="10">
      <c r="C10" s="4" t="s">
        <v>21</v>
      </c>
    </row>
    <row r="11">
      <c r="C11" s="4" t="s">
        <v>22</v>
      </c>
      <c r="E11" s="5"/>
      <c r="F11" s="5"/>
      <c r="G11" s="4"/>
    </row>
    <row r="12">
      <c r="A12" s="3">
        <v>44585.0</v>
      </c>
      <c r="B12" s="4" t="s">
        <v>9</v>
      </c>
      <c r="C12" s="4" t="s">
        <v>10</v>
      </c>
      <c r="D12" s="4">
        <v>408170.0</v>
      </c>
      <c r="E12" s="5">
        <v>9642.0</v>
      </c>
      <c r="F12" s="5">
        <v>9642.0</v>
      </c>
      <c r="G12" s="4" t="s">
        <v>23</v>
      </c>
    </row>
    <row r="13">
      <c r="A13" s="3">
        <v>44585.0</v>
      </c>
      <c r="B13" s="4" t="s">
        <v>24</v>
      </c>
      <c r="C13" s="4" t="s">
        <v>10</v>
      </c>
      <c r="E13" s="5">
        <v>11925.0</v>
      </c>
      <c r="F13" s="5">
        <v>11925.0</v>
      </c>
      <c r="G13" s="4" t="s">
        <v>25</v>
      </c>
    </row>
    <row r="14">
      <c r="E14" s="6">
        <f t="shared" ref="E14:F14" si="1">SUM(E4:E13)</f>
        <v>47272</v>
      </c>
      <c r="F14" s="6">
        <f t="shared" si="1"/>
        <v>41541</v>
      </c>
      <c r="G14" s="7" t="s">
        <v>26</v>
      </c>
    </row>
    <row r="15">
      <c r="F15" s="4" t="s">
        <v>27</v>
      </c>
    </row>
    <row r="22">
      <c r="F22" s="4" t="s">
        <v>28</v>
      </c>
      <c r="G22" s="8" t="s">
        <v>29</v>
      </c>
    </row>
  </sheetData>
  <mergeCells count="5">
    <mergeCell ref="A4:A11"/>
    <mergeCell ref="E4:E10"/>
    <mergeCell ref="F4:F10"/>
    <mergeCell ref="G4:G10"/>
    <mergeCell ref="B5:B11"/>
  </mergeCells>
  <hyperlinks>
    <hyperlink r:id="rId1" ref="G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0.0"/>
    <col customWidth="1" min="4" max="4" width="26.38"/>
    <col customWidth="1" min="5" max="5" width="15.38"/>
    <col customWidth="1" min="6" max="7" width="24.0"/>
    <col customWidth="1" min="8" max="8" width="54.63"/>
  </cols>
  <sheetData>
    <row r="1">
      <c r="A1" s="9" t="s">
        <v>30</v>
      </c>
    </row>
    <row r="2">
      <c r="A2" s="1" t="s">
        <v>31</v>
      </c>
      <c r="B2" s="1" t="s">
        <v>0</v>
      </c>
      <c r="C2" s="1" t="s">
        <v>1</v>
      </c>
      <c r="D2" s="1" t="s">
        <v>2</v>
      </c>
      <c r="E2" s="1" t="s">
        <v>32</v>
      </c>
      <c r="F2" s="1" t="s">
        <v>33</v>
      </c>
      <c r="G2" s="1" t="s">
        <v>34</v>
      </c>
      <c r="H2" s="1" t="s">
        <v>6</v>
      </c>
    </row>
    <row r="3">
      <c r="A3" s="10" t="s">
        <v>35</v>
      </c>
      <c r="B3" s="11">
        <v>44593.0</v>
      </c>
      <c r="C3" s="10" t="s">
        <v>7</v>
      </c>
      <c r="D3" s="10" t="s">
        <v>7</v>
      </c>
      <c r="E3" s="12">
        <v>1290429.0</v>
      </c>
      <c r="F3" s="12"/>
      <c r="G3" s="12"/>
      <c r="H3" s="10" t="s">
        <v>8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4" t="s">
        <v>36</v>
      </c>
      <c r="B4" s="3">
        <v>44593.0</v>
      </c>
      <c r="C4" s="4" t="s">
        <v>9</v>
      </c>
      <c r="D4" s="4" t="s">
        <v>10</v>
      </c>
      <c r="E4" s="5">
        <v>9642.0</v>
      </c>
      <c r="F4" s="5">
        <v>9642.0</v>
      </c>
      <c r="G4" s="5"/>
      <c r="H4" s="3"/>
    </row>
    <row r="5">
      <c r="A5" s="4" t="s">
        <v>37</v>
      </c>
      <c r="B5" s="3">
        <v>44593.0</v>
      </c>
      <c r="C5" s="4" t="s">
        <v>24</v>
      </c>
      <c r="D5" s="4" t="s">
        <v>10</v>
      </c>
      <c r="E5" s="5">
        <v>13329.0</v>
      </c>
      <c r="F5" s="5">
        <v>13329.0</v>
      </c>
      <c r="G5" s="5"/>
    </row>
    <row r="6">
      <c r="D6" s="4" t="s">
        <v>38</v>
      </c>
      <c r="G6" s="5"/>
    </row>
    <row r="7">
      <c r="A7" s="4" t="s">
        <v>39</v>
      </c>
      <c r="B7" s="3">
        <v>44593.0</v>
      </c>
      <c r="C7" s="4" t="s">
        <v>12</v>
      </c>
      <c r="D7" s="4" t="s">
        <v>13</v>
      </c>
      <c r="E7" s="5">
        <v>51890.0</v>
      </c>
      <c r="F7" s="5">
        <v>42314.0</v>
      </c>
      <c r="G7" s="5"/>
    </row>
    <row r="8">
      <c r="C8" s="4" t="s">
        <v>15</v>
      </c>
      <c r="D8" s="4" t="s">
        <v>22</v>
      </c>
      <c r="G8" s="5"/>
    </row>
    <row r="9">
      <c r="D9" s="4" t="s">
        <v>40</v>
      </c>
      <c r="G9" s="5"/>
    </row>
    <row r="10">
      <c r="D10" s="4" t="s">
        <v>41</v>
      </c>
      <c r="G10" s="5"/>
    </row>
    <row r="11">
      <c r="D11" s="4" t="s">
        <v>42</v>
      </c>
      <c r="G11" s="5"/>
    </row>
    <row r="12">
      <c r="D12" s="4" t="s">
        <v>43</v>
      </c>
      <c r="G12" s="5"/>
    </row>
    <row r="13">
      <c r="D13" s="4" t="s">
        <v>44</v>
      </c>
      <c r="G13" s="5"/>
    </row>
    <row r="14">
      <c r="D14" s="4" t="s">
        <v>45</v>
      </c>
      <c r="G14" s="5"/>
    </row>
    <row r="15">
      <c r="D15" s="4" t="s">
        <v>46</v>
      </c>
      <c r="G15" s="5"/>
    </row>
    <row r="16">
      <c r="D16" s="4" t="s">
        <v>47</v>
      </c>
      <c r="G16" s="5"/>
    </row>
    <row r="17">
      <c r="D17" s="4" t="s">
        <v>48</v>
      </c>
      <c r="G17" s="5"/>
    </row>
    <row r="18">
      <c r="D18" s="4" t="s">
        <v>49</v>
      </c>
      <c r="G18" s="5"/>
    </row>
    <row r="19">
      <c r="D19" s="4" t="s">
        <v>50</v>
      </c>
      <c r="G19" s="5"/>
    </row>
    <row r="20">
      <c r="D20" s="4" t="s">
        <v>51</v>
      </c>
      <c r="G20" s="5"/>
    </row>
    <row r="21">
      <c r="D21" s="4" t="s">
        <v>52</v>
      </c>
      <c r="G21" s="5"/>
    </row>
    <row r="22">
      <c r="D22" s="4" t="s">
        <v>53</v>
      </c>
      <c r="G22" s="5"/>
    </row>
    <row r="23">
      <c r="A23" s="4" t="s">
        <v>54</v>
      </c>
      <c r="B23" s="3">
        <v>44593.0</v>
      </c>
      <c r="C23" s="4" t="s">
        <v>12</v>
      </c>
      <c r="D23" s="4" t="s">
        <v>13</v>
      </c>
      <c r="E23" s="5">
        <v>24738.0</v>
      </c>
      <c r="F23" s="5">
        <v>19367.0</v>
      </c>
      <c r="G23" s="5"/>
    </row>
    <row r="24">
      <c r="C24" s="4" t="s">
        <v>15</v>
      </c>
      <c r="D24" s="4" t="s">
        <v>16</v>
      </c>
      <c r="G24" s="5"/>
    </row>
    <row r="25">
      <c r="D25" s="4" t="s">
        <v>21</v>
      </c>
      <c r="G25" s="5"/>
    </row>
    <row r="26">
      <c r="D26" s="4" t="s">
        <v>55</v>
      </c>
      <c r="G26" s="5"/>
    </row>
    <row r="27">
      <c r="D27" s="4" t="s">
        <v>56</v>
      </c>
      <c r="G27" s="5"/>
    </row>
    <row r="28">
      <c r="D28" s="4" t="s">
        <v>57</v>
      </c>
      <c r="G28" s="5"/>
    </row>
    <row r="29">
      <c r="D29" s="4" t="s">
        <v>58</v>
      </c>
      <c r="G29" s="5"/>
    </row>
    <row r="30">
      <c r="D30" s="4" t="s">
        <v>59</v>
      </c>
      <c r="G30" s="5"/>
    </row>
    <row r="31">
      <c r="A31" s="4" t="s">
        <v>60</v>
      </c>
      <c r="B31" s="3">
        <v>44593.0</v>
      </c>
      <c r="C31" s="4" t="s">
        <v>12</v>
      </c>
      <c r="D31" s="4" t="s">
        <v>13</v>
      </c>
      <c r="E31" s="4">
        <v>462.0</v>
      </c>
      <c r="F31" s="4">
        <v>255.0</v>
      </c>
      <c r="G31" s="4"/>
    </row>
    <row r="32">
      <c r="C32" s="4" t="s">
        <v>15</v>
      </c>
      <c r="D32" s="4" t="s">
        <v>18</v>
      </c>
      <c r="G32" s="4"/>
    </row>
    <row r="33">
      <c r="D33" s="4" t="s">
        <v>61</v>
      </c>
      <c r="G33" s="4"/>
    </row>
    <row r="34">
      <c r="A34" s="4" t="s">
        <v>62</v>
      </c>
      <c r="B34" s="3">
        <v>44594.0</v>
      </c>
      <c r="C34" s="4" t="s">
        <v>12</v>
      </c>
      <c r="D34" s="4" t="s">
        <v>13</v>
      </c>
      <c r="E34" s="4">
        <v>173.0</v>
      </c>
      <c r="F34" s="4">
        <v>115.0</v>
      </c>
      <c r="G34" s="4"/>
    </row>
    <row r="35">
      <c r="C35" s="4" t="s">
        <v>15</v>
      </c>
      <c r="D35" s="4" t="s">
        <v>19</v>
      </c>
      <c r="G35" s="4"/>
    </row>
    <row r="36">
      <c r="D36" s="4" t="s">
        <v>63</v>
      </c>
      <c r="G36" s="4"/>
    </row>
    <row r="37">
      <c r="A37" s="4" t="s">
        <v>64</v>
      </c>
      <c r="B37" s="3">
        <v>44593.0</v>
      </c>
      <c r="C37" s="4" t="s">
        <v>12</v>
      </c>
      <c r="D37" s="4" t="s">
        <v>13</v>
      </c>
      <c r="E37" s="5">
        <v>6264.0</v>
      </c>
      <c r="F37" s="5">
        <v>5481.0</v>
      </c>
      <c r="G37" s="5"/>
    </row>
    <row r="38">
      <c r="C38" s="4" t="s">
        <v>15</v>
      </c>
      <c r="D38" s="4" t="s">
        <v>65</v>
      </c>
      <c r="G38" s="5"/>
    </row>
    <row r="39">
      <c r="D39" s="4" t="s">
        <v>66</v>
      </c>
      <c r="G39" s="5"/>
    </row>
    <row r="40">
      <c r="D40" s="4" t="s">
        <v>67</v>
      </c>
      <c r="G40" s="5"/>
    </row>
    <row r="41">
      <c r="D41" s="4" t="s">
        <v>65</v>
      </c>
      <c r="G41" s="5"/>
    </row>
    <row r="42">
      <c r="D42" s="4" t="s">
        <v>68</v>
      </c>
      <c r="G42" s="5"/>
    </row>
    <row r="43">
      <c r="D43" s="4" t="s">
        <v>69</v>
      </c>
      <c r="G43" s="5"/>
    </row>
    <row r="44">
      <c r="A44" s="4" t="s">
        <v>70</v>
      </c>
      <c r="B44" s="3">
        <v>44593.0</v>
      </c>
      <c r="C44" s="4" t="s">
        <v>12</v>
      </c>
      <c r="D44" s="4" t="s">
        <v>13</v>
      </c>
      <c r="E44" s="5">
        <v>4620.0</v>
      </c>
      <c r="F44" s="5">
        <v>4152.0</v>
      </c>
      <c r="G44" s="5"/>
    </row>
    <row r="45">
      <c r="C45" s="4" t="s">
        <v>15</v>
      </c>
      <c r="D45" s="4" t="s">
        <v>71</v>
      </c>
      <c r="G45" s="5"/>
    </row>
    <row r="46">
      <c r="D46" s="4" t="s">
        <v>72</v>
      </c>
      <c r="G46" s="5"/>
    </row>
    <row r="47">
      <c r="D47" s="4" t="s">
        <v>73</v>
      </c>
      <c r="G47" s="5"/>
    </row>
    <row r="48">
      <c r="D48" s="4" t="s">
        <v>74</v>
      </c>
      <c r="G48" s="5"/>
    </row>
    <row r="49">
      <c r="D49" s="4" t="s">
        <v>75</v>
      </c>
      <c r="G49" s="5"/>
    </row>
    <row r="50">
      <c r="D50" s="4" t="s">
        <v>76</v>
      </c>
      <c r="G50" s="5"/>
    </row>
    <row r="51">
      <c r="D51" s="4" t="s">
        <v>77</v>
      </c>
      <c r="G51" s="5"/>
    </row>
    <row r="52">
      <c r="D52" s="4" t="s">
        <v>78</v>
      </c>
      <c r="G52" s="5"/>
    </row>
    <row r="53">
      <c r="D53" s="4" t="s">
        <v>79</v>
      </c>
      <c r="G53" s="5"/>
    </row>
    <row r="54">
      <c r="A54" s="4" t="s">
        <v>80</v>
      </c>
      <c r="B54" s="3">
        <v>44593.0</v>
      </c>
      <c r="C54" s="4" t="s">
        <v>12</v>
      </c>
      <c r="D54" s="4" t="s">
        <v>13</v>
      </c>
      <c r="E54" s="4">
        <v>796.0</v>
      </c>
      <c r="F54" s="4">
        <v>637.0</v>
      </c>
      <c r="G54" s="4"/>
    </row>
    <row r="55">
      <c r="C55" s="4" t="s">
        <v>15</v>
      </c>
      <c r="D55" s="4" t="s">
        <v>17</v>
      </c>
      <c r="G55" s="4"/>
    </row>
    <row r="56">
      <c r="D56" s="4" t="s">
        <v>81</v>
      </c>
      <c r="G56" s="4"/>
    </row>
    <row r="57">
      <c r="A57" s="4" t="s">
        <v>82</v>
      </c>
      <c r="B57" s="3">
        <v>44594.0</v>
      </c>
      <c r="C57" s="4" t="s">
        <v>12</v>
      </c>
      <c r="D57" s="4" t="s">
        <v>13</v>
      </c>
      <c r="E57" s="4">
        <v>58.0</v>
      </c>
      <c r="F57" s="4">
        <v>58.0</v>
      </c>
      <c r="G57" s="4"/>
    </row>
    <row r="58">
      <c r="C58" s="4" t="s">
        <v>15</v>
      </c>
      <c r="D58" s="4" t="s">
        <v>83</v>
      </c>
      <c r="G58" s="4"/>
    </row>
    <row r="59">
      <c r="A59" s="14" t="s">
        <v>84</v>
      </c>
      <c r="E59" s="15">
        <f>SUM(E4:E56)</f>
        <v>111914</v>
      </c>
      <c r="F59" s="16">
        <f>SUM(F4:F58)</f>
        <v>95350</v>
      </c>
      <c r="G59" s="17">
        <v>72501.0</v>
      </c>
    </row>
  </sheetData>
  <mergeCells count="45">
    <mergeCell ref="A5:A6"/>
    <mergeCell ref="B5:B6"/>
    <mergeCell ref="C5:C6"/>
    <mergeCell ref="E5:E6"/>
    <mergeCell ref="F5:F6"/>
    <mergeCell ref="B7:B22"/>
    <mergeCell ref="C8:C22"/>
    <mergeCell ref="A7:A22"/>
    <mergeCell ref="A23:A30"/>
    <mergeCell ref="B23:B30"/>
    <mergeCell ref="C24:C30"/>
    <mergeCell ref="A31:A33"/>
    <mergeCell ref="B31:B33"/>
    <mergeCell ref="C32:C33"/>
    <mergeCell ref="E7:E22"/>
    <mergeCell ref="F7:F22"/>
    <mergeCell ref="E23:E30"/>
    <mergeCell ref="F23:F30"/>
    <mergeCell ref="E31:E33"/>
    <mergeCell ref="F31:F33"/>
    <mergeCell ref="F34:F36"/>
    <mergeCell ref="B44:B53"/>
    <mergeCell ref="C45:C53"/>
    <mergeCell ref="A54:A56"/>
    <mergeCell ref="B54:B56"/>
    <mergeCell ref="C55:C56"/>
    <mergeCell ref="A57:A58"/>
    <mergeCell ref="B57:B58"/>
    <mergeCell ref="A59:D59"/>
    <mergeCell ref="A34:A36"/>
    <mergeCell ref="B34:B36"/>
    <mergeCell ref="C35:C36"/>
    <mergeCell ref="A37:A43"/>
    <mergeCell ref="B37:B43"/>
    <mergeCell ref="C38:C43"/>
    <mergeCell ref="A44:A53"/>
    <mergeCell ref="E57:E58"/>
    <mergeCell ref="F57:F58"/>
    <mergeCell ref="E34:E36"/>
    <mergeCell ref="E37:E43"/>
    <mergeCell ref="F37:F43"/>
    <mergeCell ref="E44:E53"/>
    <mergeCell ref="F44:F53"/>
    <mergeCell ref="E54:E56"/>
    <mergeCell ref="F54:F56"/>
  </mergeCells>
  <drawing r:id="rId1"/>
</worksheet>
</file>